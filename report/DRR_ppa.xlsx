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<sst xmlns="http://schemas.openxmlformats.org/spreadsheetml/2006/main" count="60" uniqueCount="43">
  <si>
    <t xml:space="preserve">DRR</t>
  </si>
  <si>
    <t xml:space="preserve">Parameter</t>
  </si>
  <si>
    <t xml:space="preserve">Value</t>
  </si>
  <si>
    <t xml:space="preserve">Unit</t>
  </si>
  <si>
    <t xml:space="preserve">Clock period</t>
  </si>
  <si>
    <t xml:space="preserve">ps</t>
  </si>
  <si>
    <t xml:space="preserve">Critical-path delay</t>
  </si>
  <si>
    <t xml:space="preserve">Setup slack</t>
  </si>
  <si>
    <t xml:space="preserve">Maximum frequency</t>
  </si>
  <si>
    <t xml:space="preserve">GHz</t>
  </si>
  <si>
    <t xml:space="preserve">Cell area</t>
  </si>
  <si>
    <t xml:space="preserve">um^2</t>
  </si>
  <si>
    <t xml:space="preserve">Filler area</t>
  </si>
  <si>
    <t xml:space="preserve">Core area</t>
  </si>
  <si>
    <t xml:space="preserve">Chip area</t>
  </si>
  <si>
    <t xml:space="preserve">Core utilization</t>
  </si>
  <si>
    <t xml:space="preserve">Cell rows</t>
  </si>
  <si>
    <t xml:space="preserve">Instance count</t>
  </si>
  <si>
    <t xml:space="preserve">Internal power</t>
  </si>
  <si>
    <t xml:space="preserve">mW</t>
  </si>
  <si>
    <t xml:space="preserve">Switching power</t>
  </si>
  <si>
    <t xml:space="preserve">Leakage power</t>
  </si>
  <si>
    <t xml:space="preserve">Dynamic power</t>
  </si>
  <si>
    <t xml:space="preserve">Total power</t>
  </si>
  <si>
    <t xml:space="preserve">Total wire length</t>
  </si>
  <si>
    <t xml:space="preserve">um</t>
  </si>
  <si>
    <t xml:space="preserve">M2 wire length</t>
  </si>
  <si>
    <t xml:space="preserve">M3 wire length</t>
  </si>
  <si>
    <t xml:space="preserve">M4 wire length</t>
  </si>
  <si>
    <t xml:space="preserve">M5 wire length</t>
  </si>
  <si>
    <t xml:space="preserve">M6 wire length</t>
  </si>
  <si>
    <t xml:space="preserve">Average wire length per net</t>
  </si>
  <si>
    <t xml:space="preserve">Signal nets</t>
  </si>
  <si>
    <t xml:space="preserve">I/O pins</t>
  </si>
  <si>
    <t xml:space="preserve">Total pins</t>
  </si>
  <si>
    <t xml:space="preserve">Connections</t>
  </si>
  <si>
    <t xml:space="preserve">Average pins per net</t>
  </si>
  <si>
    <t xml:space="preserve">Power-delay product</t>
  </si>
  <si>
    <t xml:space="preserve">fJ</t>
  </si>
  <si>
    <t xml:space="preserve">Energy-delay product</t>
  </si>
  <si>
    <t xml:space="preserve">fJ*ps</t>
  </si>
  <si>
    <t xml:space="preserve">Area per instance</t>
  </si>
  <si>
    <t xml:space="preserve">Wire per instance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</si>
</sst>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%"/>
    <numFmt numFmtId="168" formatCode="0.00000"/>
    <numFmt numFmtId="169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2000</v>
      </c>
      <c r="C4" s="5" t="s">
        <v>5</v>
      </c>
    </row>
    <row r="5" customFormat="false" ht="15" hidden="false" customHeight="false" outlineLevel="0" collapsed="false">
      <c r="A5" s="3" t="s">
        <v>6</v>
      </c>
      <c r="B5" s="4" t="n">
        <v>1284</v>
      </c>
      <c r="C5" s="5" t="s">
        <v>5</v>
      </c>
    </row>
    <row r="6" customFormat="false" ht="15" hidden="false" customHeight="false" outlineLevel="0" collapsed="false">
      <c r="A6" s="3" t="s">
        <v>7</v>
      </c>
      <c r="B6" s="4" t="n">
        <v>708</v>
      </c>
      <c r="C6" s="5" t="s">
        <v>5</v>
      </c>
    </row>
    <row r="7" customFormat="false" ht="15" hidden="false" customHeight="false" outlineLevel="0" collapsed="false">
      <c r="A7" s="3" t="s">
        <v>8</v>
      </c>
      <c r="B7" s="6" t="n">
        <f aca="false">1000/B5</f>
        <v>0.778816199376947</v>
      </c>
      <c r="C7" s="5" t="s">
        <v>9</v>
      </c>
    </row>
    <row r="8" customFormat="false" ht="15" hidden="false" customHeight="false" outlineLevel="0" collapsed="false">
      <c r="A8" s="3" t="s">
        <v>10</v>
      </c>
      <c r="B8" s="6" t="n">
        <v>1047.85</v>
      </c>
      <c r="C8" s="5" t="s">
        <v>11</v>
      </c>
    </row>
    <row r="9" customFormat="false" ht="15" hidden="false" customHeight="false" outlineLevel="0" collapsed="false">
      <c r="A9" s="3" t="s">
        <v>12</v>
      </c>
      <c r="B9" s="6" t="n">
        <v>0</v>
      </c>
      <c r="C9" s="5" t="s">
        <v>11</v>
      </c>
    </row>
    <row r="10" customFormat="false" ht="15" hidden="false" customHeight="false" outlineLevel="0" collapsed="false">
      <c r="A10" s="3" t="s">
        <v>13</v>
      </c>
      <c r="B10" s="6" t="n">
        <v>1746.674</v>
      </c>
      <c r="C10" s="5" t="s">
        <v>11</v>
      </c>
    </row>
    <row r="11" customFormat="false" ht="15" hidden="false" customHeight="false" outlineLevel="0" collapsed="false">
      <c r="A11" s="3" t="s">
        <v>14</v>
      </c>
      <c r="B11" s="6" t="n">
        <v>1966.904</v>
      </c>
      <c r="C11" s="5" t="s">
        <v>11</v>
      </c>
    </row>
    <row r="12" customFormat="false" ht="15" hidden="false" customHeight="false" outlineLevel="0" collapsed="false">
      <c r="A12" s="3" t="s">
        <v>15</v>
      </c>
      <c r="B12" s="7" t="n">
        <v>0.59991</v>
      </c>
      <c r="C12" s="5"/>
    </row>
    <row r="13" customFormat="false" ht="15" hidden="false" customHeight="false" outlineLevel="0" collapsed="false">
      <c r="A13" s="3" t="s">
        <v>16</v>
      </c>
      <c r="B13" s="4" t="n">
        <v>120</v>
      </c>
      <c r="C13" s="5"/>
    </row>
    <row r="14" customFormat="false" ht="15" hidden="false" customHeight="false" outlineLevel="0" collapsed="false">
      <c r="A14" s="3" t="s">
        <v>17</v>
      </c>
      <c r="B14" s="4" t="n">
        <v>8282</v>
      </c>
      <c r="C14" s="5"/>
    </row>
    <row r="15" customFormat="false" ht="15" hidden="false" customHeight="false" outlineLevel="0" collapsed="false">
      <c r="A15" s="3" t="s">
        <v>18</v>
      </c>
      <c r="B15" s="8" t="n">
        <v>1.3859</v>
      </c>
      <c r="C15" s="5" t="s">
        <v>19</v>
      </c>
    </row>
    <row r="16" customFormat="false" ht="15" hidden="false" customHeight="false" outlineLevel="0" collapsed="false">
      <c r="A16" s="3" t="s">
        <v>20</v>
      </c>
      <c r="B16" s="8" t="n">
        <v>0.52893</v>
      </c>
      <c r="C16" s="5" t="s">
        <v>19</v>
      </c>
    </row>
    <row r="17" customFormat="false" ht="15" hidden="false" customHeight="false" outlineLevel="0" collapsed="false">
      <c r="A17" s="3" t="s">
        <v>21</v>
      </c>
      <c r="B17" s="8" t="n">
        <v>0.00088</v>
      </c>
      <c r="C17" s="5" t="s">
        <v>19</v>
      </c>
    </row>
    <row r="18" customFormat="false" ht="15" hidden="false" customHeight="false" outlineLevel="0" collapsed="false">
      <c r="A18" s="3" t="s">
        <v>22</v>
      </c>
      <c r="B18" s="8" t="n">
        <f aca="false">B15+B16</f>
        <v>1.91483</v>
      </c>
      <c r="C18" s="5" t="s">
        <v>19</v>
      </c>
    </row>
    <row r="19" customFormat="false" ht="15" hidden="false" customHeight="false" outlineLevel="0" collapsed="false">
      <c r="A19" s="3" t="s">
        <v>23</v>
      </c>
      <c r="B19" s="8" t="n">
        <f aca="false">B15+B16+B17</f>
        <v>1.91571</v>
      </c>
      <c r="C19" s="5" t="s">
        <v>19</v>
      </c>
    </row>
    <row r="20" customFormat="false" ht="15" hidden="false" customHeight="false" outlineLevel="0" collapsed="false">
      <c r="A20" s="3" t="s">
        <v>24</v>
      </c>
      <c r="B20" s="6" t="n">
        <v>34189.239</v>
      </c>
      <c r="C20" s="5" t="s">
        <v>25</v>
      </c>
    </row>
    <row r="21" customFormat="false" ht="15" hidden="false" customHeight="false" outlineLevel="0" collapsed="false">
      <c r="A21" s="3" t="s">
        <v>26</v>
      </c>
      <c r="B21" s="6" t="n">
        <v>10814.028</v>
      </c>
      <c r="C21" s="5" t="s">
        <v>25</v>
      </c>
    </row>
    <row r="22" customFormat="false" ht="15" hidden="false" customHeight="false" outlineLevel="0" collapsed="false">
      <c r="A22" s="3" t="s">
        <v>27</v>
      </c>
      <c r="B22" s="6" t="n">
        <v>13427.265</v>
      </c>
      <c r="C22" s="5" t="s">
        <v>25</v>
      </c>
    </row>
    <row r="23" customFormat="false" ht="15" hidden="false" customHeight="false" outlineLevel="0" collapsed="false">
      <c r="A23" s="3" t="s">
        <v>28</v>
      </c>
      <c r="B23" s="6" t="n">
        <v>6081.327</v>
      </c>
      <c r="C23" s="5" t="s">
        <v>25</v>
      </c>
    </row>
    <row r="24" customFormat="false" ht="15" hidden="false" customHeight="false" outlineLevel="0" collapsed="false">
      <c r="A24" s="3" t="s">
        <v>29</v>
      </c>
      <c r="B24" s="6" t="n">
        <v>2976.507</v>
      </c>
      <c r="C24" s="5" t="s">
        <v>25</v>
      </c>
    </row>
    <row r="25" customFormat="false" ht="15" hidden="false" customHeight="false" outlineLevel="0" collapsed="false">
      <c r="A25" s="3" t="s">
        <v>30</v>
      </c>
      <c r="B25" s="6" t="n">
        <v>890.112</v>
      </c>
      <c r="C25" s="5" t="s">
        <v>25</v>
      </c>
    </row>
    <row r="26" customFormat="false" ht="15" hidden="false" customHeight="false" outlineLevel="0" collapsed="false">
      <c r="A26" s="3" t="s">
        <v>31</v>
      </c>
      <c r="B26" s="6" t="n">
        <v>3.8593</v>
      </c>
      <c r="C26" s="5" t="s">
        <v>25</v>
      </c>
    </row>
    <row r="27" customFormat="false" ht="15" hidden="false" customHeight="false" outlineLevel="0" collapsed="false">
      <c r="A27" s="3" t="s">
        <v>32</v>
      </c>
      <c r="B27" s="4" t="n">
        <v>8859</v>
      </c>
      <c r="C27" s="5"/>
    </row>
    <row r="28" customFormat="false" ht="15" hidden="false" customHeight="false" outlineLevel="0" collapsed="false">
      <c r="A28" s="3" t="s">
        <v>33</v>
      </c>
      <c r="B28" s="4" t="n">
        <v>413</v>
      </c>
      <c r="C28" s="5"/>
    </row>
    <row r="29" customFormat="false" ht="15" hidden="false" customHeight="false" outlineLevel="0" collapsed="false">
      <c r="A29" s="3" t="s">
        <v>34</v>
      </c>
      <c r="B29" s="4" t="n">
        <v>32521</v>
      </c>
      <c r="C29" s="5"/>
    </row>
    <row r="30" customFormat="false" ht="15" hidden="false" customHeight="false" outlineLevel="0" collapsed="false">
      <c r="A30" s="3" t="s">
        <v>35</v>
      </c>
      <c r="B30" s="4" t="n">
        <v>24373</v>
      </c>
      <c r="C30" s="5"/>
    </row>
    <row r="31" customFormat="false" ht="15" hidden="false" customHeight="false" outlineLevel="0" collapsed="false">
      <c r="A31" s="3" t="s">
        <v>36</v>
      </c>
      <c r="B31" s="6" t="n">
        <v>3.671</v>
      </c>
      <c r="C31" s="5"/>
    </row>
    <row r="32" customFormat="false" ht="15" hidden="false" customHeight="false" outlineLevel="0" collapsed="false">
      <c r="A32" s="3" t="s">
        <v>37</v>
      </c>
      <c r="B32" s="6" t="n">
        <f aca="false">B19*B5</f>
        <v>2459.77164</v>
      </c>
      <c r="C32" s="5" t="s">
        <v>38</v>
      </c>
    </row>
    <row r="33" customFormat="false" ht="15" hidden="false" customHeight="false" outlineLevel="0" collapsed="false">
      <c r="A33" s="3" t="s">
        <v>39</v>
      </c>
      <c r="B33" s="6" t="n">
        <f aca="false">B19*B5*B5</f>
        <v>3158346.78576</v>
      </c>
      <c r="C33" s="5" t="s">
        <v>40</v>
      </c>
    </row>
    <row r="34" customFormat="false" ht="15" hidden="false" customHeight="false" outlineLevel="0" collapsed="false">
      <c r="A34" s="3" t="s">
        <v>41</v>
      </c>
      <c r="B34" s="9" t="n">
        <f aca="false">B8/B14</f>
        <v>0.12652137164936</v>
      </c>
      <c r="C34" s="5" t="s">
        <v>11</v>
      </c>
    </row>
    <row r="35" customFormat="false" ht="15" hidden="false" customHeight="false" outlineLevel="0" collapsed="false">
      <c r="A35" s="3" t="s">
        <v>42</v>
      </c>
      <c r="B35" s="9" t="n">
        <f aca="false">B20/B14</f>
        <v>4.12813801014248</v>
      </c>
      <c r="C3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2026-09-14T00:08:37Z</dcterms:created>
  <dc:creator>openpyxl</dc:creator>
  <dc:description/>
  <dc:language>en-US</dc:language>
  <cp:lastModifiedBy/>
  <dcterms:modified xsi:type="dcterms:W3CDTF">2026-09-14T00:08:37Z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